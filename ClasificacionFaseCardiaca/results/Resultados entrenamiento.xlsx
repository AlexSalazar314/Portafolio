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2\Documents\Vision\ProyectoChagas\"/>
    </mc:Choice>
  </mc:AlternateContent>
  <xr:revisionPtr revIDLastSave="0" documentId="8_{AA97DA9C-080A-4854-AE91-F47EB1EB111E}" xr6:coauthVersionLast="47" xr6:coauthVersionMax="47" xr10:uidLastSave="{00000000-0000-0000-0000-000000000000}"/>
  <bookViews>
    <workbookView xWindow="-108" yWindow="-108" windowWidth="23256" windowHeight="12456" xr2:uid="{408955EF-3382-4E95-9523-16E022180D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M10" i="1"/>
  <c r="N10" i="1"/>
  <c r="O10" i="1"/>
  <c r="P10" i="1"/>
  <c r="K10" i="1"/>
  <c r="L9" i="1"/>
  <c r="M9" i="1"/>
  <c r="N9" i="1"/>
  <c r="O9" i="1"/>
  <c r="P9" i="1"/>
  <c r="K9" i="1"/>
  <c r="C10" i="1"/>
  <c r="D10" i="1"/>
  <c r="E10" i="1"/>
  <c r="F10" i="1"/>
  <c r="G10" i="1"/>
  <c r="B10" i="1"/>
  <c r="C9" i="1"/>
  <c r="D9" i="1"/>
  <c r="E9" i="1"/>
  <c r="F9" i="1"/>
  <c r="G9" i="1"/>
  <c r="B9" i="1"/>
</calcChain>
</file>

<file path=xl/sharedStrings.xml><?xml version="1.0" encoding="utf-8"?>
<sst xmlns="http://schemas.openxmlformats.org/spreadsheetml/2006/main" count="17" uniqueCount="10">
  <si>
    <t>ROC/Entrenamiento</t>
  </si>
  <si>
    <t>Pérdida/Entrenamiento</t>
  </si>
  <si>
    <t>Precisión/Entrenamiento</t>
  </si>
  <si>
    <t>ROC/Validacion</t>
  </si>
  <si>
    <t>Pérdida/Validacion</t>
  </si>
  <si>
    <t>Precisión/Validacion</t>
  </si>
  <si>
    <t>No. Entrenamiento</t>
  </si>
  <si>
    <t>Media</t>
  </si>
  <si>
    <t>Desviacion std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</si>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</sst>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3F2FD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172" fontId="1" fillId="2" borderId="0" xfId="0" applyNumberFormat="1" applyFont="1" applyFill="1" applyAlignment="1">
      <alignment horizontal="right" vertical="center" wrapText="1"/>
    </xf>
    <xf numFmtId="172" fontId="2" fillId="2" borderId="0" xfId="0" applyNumberFormat="1" applyFont="1" applyFill="1" applyAlignment="1">
      <alignment horizontal="right" vertical="center" wrapText="1"/>
    </xf>
    <xf numFmtId="172" fontId="0" fillId="0" borderId="0" xfId="0" applyNumberFormat="1"/>
    <xf numFmtId="0" fontId="0" fillId="0" borderId="0" xfId="0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right" vertical="center" wrapText="1"/>
    </xf>
    <xf numFmtId="172" fontId="2" fillId="3" borderId="0" xfId="0" applyNumberFormat="1" applyFont="1" applyFill="1" applyAlignment="1">
      <alignment horizontal="right" vertical="center" wrapText="1"/>
    </xf>
    <xf numFmtId="172" fontId="1" fillId="3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27D1-41D3-4529-8344-5E6376EE9117}">
  <dimension ref="A1:Q10"/>
  <sheetViews>
    <sheetView tabSelected="1" zoomScale="146" workbookViewId="0">
      <selection activeCell="P10" sqref="K9:P10"/>
    </sheetView>
  </sheetViews>
  <sheetFormatPr baseColWidth="10" defaultRowHeight="14.4" x14ac:dyDescent="0.3"/>
  <sheetData>
    <row r="1" spans="1:17" ht="50.4" x14ac:dyDescent="0.3">
      <c r="A1" s="5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K1" s="7" t="s">
        <v>0</v>
      </c>
      <c r="L1" s="7" t="s">
        <v>1</v>
      </c>
      <c r="M1" s="7" t="s">
        <v>2</v>
      </c>
      <c r="N1" s="7" t="s">
        <v>3</v>
      </c>
      <c r="O1" s="7" t="s">
        <v>4</v>
      </c>
      <c r="P1" s="7" t="s">
        <v>5</v>
      </c>
      <c r="Q1" s="6"/>
    </row>
    <row r="2" spans="1:17" ht="16.8" x14ac:dyDescent="0.3">
      <c r="A2">
        <v>1</v>
      </c>
      <c r="B2" s="2">
        <v>0.92323599999999995</v>
      </c>
      <c r="C2" s="3">
        <v>0.11505600000000001</v>
      </c>
      <c r="D2" s="3">
        <v>0.83773600000000004</v>
      </c>
      <c r="E2" s="3">
        <v>0.90940799999999999</v>
      </c>
      <c r="F2" s="3">
        <v>0.12773999999999999</v>
      </c>
      <c r="G2" s="2">
        <v>0.93548399999999998</v>
      </c>
      <c r="J2" s="7">
        <v>1</v>
      </c>
      <c r="K2" s="9">
        <v>0.92604900000000001</v>
      </c>
      <c r="L2" s="9">
        <v>0.120806</v>
      </c>
      <c r="M2" s="9">
        <v>0.862348</v>
      </c>
      <c r="N2" s="9">
        <v>0.92110499999999995</v>
      </c>
      <c r="O2" s="9">
        <v>0.120558</v>
      </c>
      <c r="P2" s="8">
        <v>0.8</v>
      </c>
    </row>
    <row r="3" spans="1:17" ht="16.8" x14ac:dyDescent="0.3">
      <c r="A3">
        <v>2</v>
      </c>
      <c r="B3" s="3">
        <v>0.88897599999999999</v>
      </c>
      <c r="C3" s="3">
        <v>0.14335100000000001</v>
      </c>
      <c r="D3" s="3">
        <v>0.797794</v>
      </c>
      <c r="E3" s="3">
        <v>0.93650800000000001</v>
      </c>
      <c r="F3" s="3">
        <v>0.13956199999999999</v>
      </c>
      <c r="G3" s="3">
        <v>0.71111100000000005</v>
      </c>
      <c r="J3" s="7">
        <v>2</v>
      </c>
      <c r="K3" s="8">
        <v>0.80596800000000002</v>
      </c>
      <c r="L3" s="8">
        <v>0.20117599999999999</v>
      </c>
      <c r="M3" s="8">
        <v>0.73790299999999998</v>
      </c>
      <c r="N3" s="8">
        <v>0.838889</v>
      </c>
      <c r="O3" s="8">
        <v>0.18671199999999999</v>
      </c>
      <c r="P3" s="9">
        <v>0.92857100000000004</v>
      </c>
    </row>
    <row r="4" spans="1:17" ht="16.8" x14ac:dyDescent="0.3">
      <c r="A4">
        <v>3</v>
      </c>
      <c r="B4" s="3">
        <v>0.90332699999999999</v>
      </c>
      <c r="C4" s="3">
        <v>0.13136600000000001</v>
      </c>
      <c r="D4" s="3">
        <v>0.83935700000000002</v>
      </c>
      <c r="E4" s="3">
        <v>0.85934299999999997</v>
      </c>
      <c r="F4" s="3">
        <v>0.16022400000000001</v>
      </c>
      <c r="G4" s="3">
        <v>0.82926800000000001</v>
      </c>
      <c r="J4" s="7">
        <v>3</v>
      </c>
      <c r="K4" s="8">
        <v>0.86035099999999998</v>
      </c>
      <c r="L4" s="8">
        <v>0.16972100000000001</v>
      </c>
      <c r="M4" s="8">
        <v>0.78189299999999995</v>
      </c>
      <c r="N4" s="8">
        <v>0.79393899999999995</v>
      </c>
      <c r="O4" s="8">
        <v>0.187003</v>
      </c>
      <c r="P4" s="8">
        <v>0.6875</v>
      </c>
    </row>
    <row r="5" spans="1:17" ht="16.8" x14ac:dyDescent="0.3">
      <c r="A5">
        <v>4</v>
      </c>
      <c r="B5" s="3">
        <v>0.92053099999999999</v>
      </c>
      <c r="C5" s="2">
        <v>0.114122</v>
      </c>
      <c r="D5" s="2">
        <v>0.85653999999999997</v>
      </c>
      <c r="E5" s="2">
        <v>0.95731699999999997</v>
      </c>
      <c r="F5" s="2">
        <v>9.9994E-2</v>
      </c>
      <c r="G5" s="3">
        <v>0.85185200000000005</v>
      </c>
      <c r="J5" s="7">
        <v>4</v>
      </c>
      <c r="K5" s="8">
        <v>0.63380499999999995</v>
      </c>
      <c r="L5" s="8">
        <v>0.25365599999999999</v>
      </c>
      <c r="M5" s="8">
        <v>0.55752199999999996</v>
      </c>
      <c r="N5" s="8">
        <v>0.70655500000000004</v>
      </c>
      <c r="O5" s="8">
        <v>0.243452</v>
      </c>
      <c r="P5" s="8">
        <v>0.59210499999999999</v>
      </c>
    </row>
    <row r="6" spans="1:17" ht="16.8" x14ac:dyDescent="0.3">
      <c r="A6">
        <v>5</v>
      </c>
      <c r="B6" s="3">
        <v>0.90687399999999996</v>
      </c>
      <c r="C6" s="3">
        <v>0.125724</v>
      </c>
      <c r="D6" s="3">
        <v>0.84232399999999996</v>
      </c>
      <c r="E6" s="3">
        <v>0.92896900000000004</v>
      </c>
      <c r="F6" s="3">
        <v>0.111626</v>
      </c>
      <c r="G6" s="3">
        <v>0.92500000000000004</v>
      </c>
      <c r="J6" s="7">
        <v>5</v>
      </c>
      <c r="K6" s="8">
        <v>0.802894</v>
      </c>
      <c r="L6" s="8">
        <v>0.20513000000000001</v>
      </c>
      <c r="M6" s="8">
        <v>0.71673799999999999</v>
      </c>
      <c r="N6" s="8">
        <v>0.80813999999999997</v>
      </c>
      <c r="O6" s="8">
        <v>0.201544</v>
      </c>
      <c r="P6" s="8">
        <v>0.67741899999999999</v>
      </c>
    </row>
    <row r="7" spans="1:17" ht="16.8" x14ac:dyDescent="0.3">
      <c r="A7">
        <v>6</v>
      </c>
      <c r="B7" s="3">
        <v>0.88641499999999995</v>
      </c>
      <c r="C7" s="3">
        <v>0.14278099999999999</v>
      </c>
      <c r="D7" s="3">
        <v>0.79411799999999999</v>
      </c>
      <c r="E7" s="3">
        <v>0.88631599999999999</v>
      </c>
      <c r="F7" s="3">
        <v>0.14652999999999999</v>
      </c>
      <c r="G7" s="3">
        <v>0.8125</v>
      </c>
      <c r="J7" s="7">
        <v>6</v>
      </c>
      <c r="K7" s="8">
        <v>0.86869799999999997</v>
      </c>
      <c r="L7" s="8">
        <v>0.16034599999999999</v>
      </c>
      <c r="M7" s="8">
        <v>0.79200000000000004</v>
      </c>
      <c r="N7" s="8">
        <v>0.91789500000000002</v>
      </c>
      <c r="O7" s="8">
        <v>0.12911800000000001</v>
      </c>
      <c r="P7" s="8">
        <v>0.76190500000000005</v>
      </c>
    </row>
    <row r="8" spans="1:17" ht="16.8" x14ac:dyDescent="0.3">
      <c r="A8">
        <v>7</v>
      </c>
      <c r="B8" s="3">
        <v>0.92118100000000003</v>
      </c>
      <c r="C8" s="3">
        <v>0.11985700000000001</v>
      </c>
      <c r="D8" s="3">
        <v>0.83524900000000002</v>
      </c>
      <c r="E8" s="3">
        <v>0.95580799999999999</v>
      </c>
      <c r="F8" s="3">
        <v>0.104418</v>
      </c>
      <c r="G8" s="3">
        <v>0.85416700000000001</v>
      </c>
      <c r="J8" s="7">
        <v>7</v>
      </c>
      <c r="K8" s="8">
        <v>0.76091900000000001</v>
      </c>
      <c r="L8" s="8">
        <v>0.22319900000000001</v>
      </c>
      <c r="M8" s="8">
        <v>0.70776300000000003</v>
      </c>
      <c r="N8" s="8">
        <v>0.87525200000000003</v>
      </c>
      <c r="O8" s="8">
        <v>0.198879</v>
      </c>
      <c r="P8" s="8">
        <v>0.67213100000000003</v>
      </c>
    </row>
    <row r="9" spans="1:17" x14ac:dyDescent="0.3">
      <c r="A9" t="s">
        <v>7</v>
      </c>
      <c r="B9" s="4">
        <f>AVERAGE(B2:B8)</f>
        <v>0.90721999999999992</v>
      </c>
      <c r="C9" s="4">
        <f t="shared" ref="C9:G9" si="0">AVERAGE(C2:C8)</f>
        <v>0.1274652857142857</v>
      </c>
      <c r="D9" s="4">
        <f t="shared" si="0"/>
        <v>0.82901685714285722</v>
      </c>
      <c r="E9" s="4">
        <f t="shared" si="0"/>
        <v>0.91909557142857146</v>
      </c>
      <c r="F9" s="4">
        <f t="shared" si="0"/>
        <v>0.12715628571428572</v>
      </c>
      <c r="G9" s="4">
        <f t="shared" si="0"/>
        <v>0.8456260000000001</v>
      </c>
      <c r="J9" t="s">
        <v>9</v>
      </c>
      <c r="K9" s="4">
        <f>AVERAGE(K2:K8)</f>
        <v>0.80838342857142875</v>
      </c>
      <c r="L9" s="4">
        <f t="shared" ref="L9:P9" si="1">AVERAGE(L2:L8)</f>
        <v>0.1905762857142857</v>
      </c>
      <c r="M9" s="4">
        <f t="shared" si="1"/>
        <v>0.73659528571428567</v>
      </c>
      <c r="N9" s="4">
        <f t="shared" si="1"/>
        <v>0.83739642857142838</v>
      </c>
      <c r="O9" s="4">
        <f t="shared" si="1"/>
        <v>0.181038</v>
      </c>
      <c r="P9" s="4">
        <f t="shared" si="1"/>
        <v>0.73137585714285713</v>
      </c>
    </row>
    <row r="10" spans="1:17" x14ac:dyDescent="0.3">
      <c r="A10" t="s">
        <v>8</v>
      </c>
      <c r="B10" s="4">
        <f>_xlfn.STDEV.S(B2:B8)</f>
        <v>1.5327378684345654E-2</v>
      </c>
      <c r="C10" s="4">
        <f t="shared" ref="C10:G10" si="2">_xlfn.STDEV.S(C2:C8)</f>
        <v>1.2214024230562254E-2</v>
      </c>
      <c r="D10" s="4">
        <f t="shared" si="2"/>
        <v>2.3626193419088701E-2</v>
      </c>
      <c r="E10" s="4">
        <f t="shared" si="2"/>
        <v>3.6396145422545066E-2</v>
      </c>
      <c r="F10" s="4">
        <f t="shared" si="2"/>
        <v>2.2800095684845173E-2</v>
      </c>
      <c r="G10" s="4">
        <f t="shared" si="2"/>
        <v>7.5217024958892542E-2</v>
      </c>
      <c r="J10" t="s">
        <v>8</v>
      </c>
      <c r="K10" s="4">
        <f>_xlfn.STDEV.S(K2:K8)</f>
        <v>9.3941586930133991E-2</v>
      </c>
      <c r="L10" s="4">
        <f t="shared" ref="L10:P10" si="3">_xlfn.STDEV.S(L2:L8)</f>
        <v>4.3939659893670574E-2</v>
      </c>
      <c r="M10" s="4">
        <f t="shared" si="3"/>
        <v>9.5070039710580964E-2</v>
      </c>
      <c r="N10" s="4">
        <f t="shared" si="3"/>
        <v>7.6142829747471177E-2</v>
      </c>
      <c r="O10" s="4">
        <f t="shared" si="3"/>
        <v>4.2925511089948923E-2</v>
      </c>
      <c r="P10" s="4">
        <f t="shared" si="3"/>
        <v>0.10974970306175269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ALEJANDRO SALAZAR GONZALEZ</dc:creator>
  <cp:lastModifiedBy>JESUS ALEJANDRO SALAZAR GONZALEZ</cp:lastModifiedBy>
  <dcterms:created xsi:type="dcterms:W3CDTF">2024-11-24T22:23:52Z</dcterms:created>
  <dcterms:modified xsi:type="dcterms:W3CDTF">2024-11-25T05:43:33Z</dcterms:modified>
</cp:coreProperties>
</file>